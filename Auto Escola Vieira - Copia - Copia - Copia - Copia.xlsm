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"/>
    </mc:Choice>
  </mc:AlternateContent>
  <xr:revisionPtr revIDLastSave="0" documentId="13_ncr:1_{5546FBB6-4F84-4ACF-8B6E-D26803C8BE5B}" xr6:coauthVersionLast="46" xr6:coauthVersionMax="46" xr10:uidLastSave="{00000000-0000-0000-0000-000000000000}"/>
  <bookViews>
    <workbookView xWindow="-120" yWindow="-120" windowWidth="20730" windowHeight="11310" activeTab="4" xr2:uid="{2EFEBC69-294E-481E-AEBA-A1E964D47837}"/>
  </bookViews>
  <sheets>
    <sheet name="FINALIZACAO" sheetId="5" r:id="rId1"/>
    <sheet name="RELATÓRIO UNITÁRIO" sheetId="6" r:id="rId2"/>
    <sheet name="VALORES" sheetId="2" r:id="rId3"/>
    <sheet name="INDEX" sheetId="1" r:id="rId4"/>
    <sheet name="DADOS" sheetId="3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4" i="3" s="1"/>
  <c r="G8" i="5" s="1"/>
  <c r="D11" i="5"/>
  <c r="E4" i="3"/>
  <c r="F2" i="2"/>
  <c r="D4" i="5" s="1"/>
  <c r="D12" i="5"/>
  <c r="F3" i="2"/>
  <c r="D5" i="5" s="1"/>
  <c r="B4" i="3" l="1"/>
  <c r="C3" i="3" s="1"/>
  <c r="G7" i="5" s="1"/>
  <c r="D15" i="5"/>
  <c r="F5" i="2"/>
  <c r="C2" i="3"/>
  <c r="D7" i="5" l="1"/>
  <c r="F6" i="2"/>
  <c r="D8" i="5" s="1"/>
</calcChain>
</file>

<file path=xl/sharedStrings.xml><?xml version="1.0" encoding="utf-8"?>
<sst xmlns="http://schemas.openxmlformats.org/spreadsheetml/2006/main" count="29" uniqueCount="24">
  <si>
    <t>DATA</t>
  </si>
  <si>
    <t>TOTAL</t>
  </si>
  <si>
    <t>POSITIVOS</t>
  </si>
  <si>
    <t>NEGATIVOS</t>
  </si>
  <si>
    <t>SITUAÇÃO</t>
  </si>
  <si>
    <t>Diretório:</t>
  </si>
  <si>
    <t>VALORES POSITIVOS:</t>
  </si>
  <si>
    <t>VALORES NEGATIVOS:</t>
  </si>
  <si>
    <t>TOTAL MENSAL:</t>
  </si>
  <si>
    <t>SITUAÇÃO FINAL:</t>
  </si>
  <si>
    <t>MÊS:</t>
  </si>
  <si>
    <t>FECHAMENTO PASSADO:</t>
  </si>
  <si>
    <t>ANO:</t>
  </si>
  <si>
    <t>DADOS REFERENTE AO:</t>
  </si>
  <si>
    <t>NEGATIVO:</t>
  </si>
  <si>
    <t>POSITIVO:</t>
  </si>
  <si>
    <t>RELATÓRIO GERADO NO DIA:</t>
  </si>
  <si>
    <t/>
  </si>
  <si>
    <t xml:space="preserve">                  RELATÓRIO DE FINANCEIRO MENSAL</t>
  </si>
  <si>
    <t>C:\Users\Henrique\Desktop</t>
  </si>
  <si>
    <t>/Relatório Mensal.pdf</t>
  </si>
  <si>
    <t>JANEIRO</t>
  </si>
  <si>
    <t>ANO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</si>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</sst>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/>
    <xf numFmtId="0" fontId="0" fillId="4" borderId="0" xfId="0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/>
    <xf numFmtId="0" fontId="3" fillId="0" borderId="0" xfId="0" applyFont="1"/>
    <xf numFmtId="0" fontId="0" fillId="0" borderId="4" xfId="0" applyBorder="1"/>
    <xf numFmtId="0" fontId="0" fillId="0" borderId="5" xfId="0" applyBorder="1"/>
    <xf numFmtId="0" fontId="0" fillId="2" borderId="5" xfId="0" applyFill="1" applyBorder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3" borderId="4" xfId="0" applyFill="1" applyBorder="1"/>
    <xf numFmtId="0" fontId="0" fillId="2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/>
    <xf numFmtId="164" fontId="0" fillId="0" borderId="1" xfId="0" applyNumberFormat="1" applyBorder="1" applyAlignment="1">
      <alignment horizontal="center"/>
    </xf>
    <xf numFmtId="0" fontId="3" fillId="2" borderId="0" xfId="0" applyFont="1" applyFill="1"/>
    <xf numFmtId="0" fontId="4" fillId="0" borderId="4" xfId="0" applyFont="1" applyBorder="1"/>
    <xf numFmtId="0" fontId="3" fillId="0" borderId="2" xfId="0" applyFont="1" applyBorder="1"/>
    <xf numFmtId="0" fontId="3" fillId="0" borderId="5" xfId="0" applyFont="1" applyBorder="1"/>
    <xf numFmtId="0" fontId="0" fillId="0" borderId="2" xfId="0" applyBorder="1"/>
    <xf numFmtId="14" fontId="0" fillId="0" borderId="5" xfId="0" applyNumberFormat="1" applyBorder="1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A963-2775-4C74-804A-09259044A3A8}">
  <sheetPr codeName="Planilha4"/>
  <dimension ref="A1:I20"/>
  <sheetViews>
    <sheetView workbookViewId="0">
      <selection activeCell="G7" sqref="G7"/>
    </sheetView>
  </sheetViews>
  <sheetFormatPr defaultRowHeight="15" x14ac:dyDescent="0.25"/>
  <cols>
    <col min="1" max="1" width="2.5703125" style="20" customWidth="1"/>
    <col min="2" max="2" width="22.5703125" customWidth="1"/>
    <col min="3" max="3" width="9.140625" customWidth="1"/>
    <col min="4" max="4" width="19" customWidth="1"/>
    <col min="5" max="5" width="1.7109375" customWidth="1"/>
    <col min="6" max="6" width="12.85546875" customWidth="1"/>
    <col min="7" max="7" width="13" customWidth="1"/>
    <col min="8" max="8" width="2.85546875" hidden="1" customWidth="1"/>
    <col min="9" max="9" width="2.5703125" customWidth="1"/>
  </cols>
  <sheetData>
    <row r="1" spans="1:9" ht="13.5" customHeight="1" thickBot="1" x14ac:dyDescent="0.3">
      <c r="A1" s="38"/>
      <c r="B1" s="38"/>
      <c r="C1" s="38"/>
      <c r="D1" s="38"/>
      <c r="E1" s="38"/>
      <c r="F1" s="38"/>
      <c r="G1" s="38"/>
      <c r="H1" s="38"/>
      <c r="I1" s="38"/>
    </row>
    <row r="2" spans="1:9" s="21" customFormat="1" ht="27.75" customHeight="1" thickBot="1" x14ac:dyDescent="0.4">
      <c r="A2" s="41"/>
      <c r="B2" s="42" t="s">
        <v>18</v>
      </c>
      <c r="C2" s="43"/>
      <c r="D2" s="43"/>
      <c r="E2" s="43"/>
      <c r="F2" s="43"/>
      <c r="G2" s="44"/>
      <c r="I2" s="41"/>
    </row>
    <row r="3" spans="1:9" ht="15.75" thickBot="1" x14ac:dyDescent="0.3">
      <c r="A3" s="38"/>
      <c r="B3" s="47" t="s">
        <v>17</v>
      </c>
      <c r="I3" s="38"/>
    </row>
    <row r="4" spans="1:9" ht="15.75" thickBot="1" x14ac:dyDescent="0.3">
      <c r="A4" s="38"/>
      <c r="B4" s="30" t="s">
        <v>6</v>
      </c>
      <c r="C4" s="23"/>
      <c r="D4" s="37">
        <f>VALORES!F2</f>
        <v>0</v>
      </c>
      <c r="I4" s="38"/>
    </row>
    <row r="5" spans="1:9" ht="15.75" thickBot="1" x14ac:dyDescent="0.3">
      <c r="A5" s="38"/>
      <c r="B5" s="30" t="s">
        <v>7</v>
      </c>
      <c r="C5" s="23"/>
      <c r="D5" s="37">
        <f>VALORES!F3</f>
        <v>0</v>
      </c>
      <c r="F5" s="22" t="s">
        <v>13</v>
      </c>
      <c r="G5" s="23"/>
      <c r="I5" s="38"/>
    </row>
    <row r="6" spans="1:9" ht="6" customHeight="1" thickBot="1" x14ac:dyDescent="0.3">
      <c r="A6" s="38"/>
      <c r="B6" s="34"/>
      <c r="C6" s="24"/>
      <c r="D6" s="26"/>
      <c r="E6" s="20"/>
      <c r="F6" s="39"/>
      <c r="G6" s="39"/>
      <c r="I6" s="38"/>
    </row>
    <row r="7" spans="1:9" ht="15.75" thickBot="1" x14ac:dyDescent="0.3">
      <c r="A7" s="38"/>
      <c r="B7" s="30" t="s">
        <v>8</v>
      </c>
      <c r="C7" s="23"/>
      <c r="D7" s="37">
        <f>VALORES!F5</f>
        <v>0</v>
      </c>
      <c r="F7" s="25" t="s">
        <v>10</v>
      </c>
      <c r="G7" s="27" t="str">
        <f ca="1">DADOS!C3</f>
        <v>JANEIRO</v>
      </c>
      <c r="I7" s="38"/>
    </row>
    <row r="8" spans="1:9" ht="15.75" thickBot="1" x14ac:dyDescent="0.3">
      <c r="A8" s="38"/>
      <c r="B8" s="35" t="s">
        <v>9</v>
      </c>
      <c r="C8" s="23"/>
      <c r="D8" s="28" t="str">
        <f>VALORES!F6</f>
        <v>ESTABILIZOU</v>
      </c>
      <c r="F8" s="25" t="s">
        <v>12</v>
      </c>
      <c r="G8" s="27">
        <f ca="1">DADOS!C4</f>
        <v>2021</v>
      </c>
      <c r="I8" s="38"/>
    </row>
    <row r="9" spans="1:9" x14ac:dyDescent="0.25">
      <c r="A9" s="38"/>
      <c r="I9" s="38"/>
    </row>
    <row r="10" spans="1:9" ht="15.75" thickBot="1" x14ac:dyDescent="0.3">
      <c r="A10" s="38"/>
      <c r="I10" s="38"/>
    </row>
    <row r="11" spans="1:9" ht="15.75" thickBot="1" x14ac:dyDescent="0.3">
      <c r="A11" s="38"/>
      <c r="B11" s="22" t="s">
        <v>11</v>
      </c>
      <c r="C11" s="23"/>
      <c r="D11" s="28" t="str">
        <f>DADOS!C9</f>
        <v>JANEIRO</v>
      </c>
      <c r="I11" s="38"/>
    </row>
    <row r="12" spans="1:9" ht="15.75" thickBot="1" x14ac:dyDescent="0.3">
      <c r="A12" s="38"/>
      <c r="B12" s="29"/>
      <c r="C12" s="29"/>
      <c r="D12" s="40">
        <f>DADOS!C10</f>
        <v>0</v>
      </c>
      <c r="I12" s="38"/>
    </row>
    <row r="13" spans="1:9" x14ac:dyDescent="0.25">
      <c r="A13" s="38"/>
      <c r="I13" s="38"/>
    </row>
    <row r="14" spans="1:9" ht="15.75" thickBot="1" x14ac:dyDescent="0.3">
      <c r="A14" s="38"/>
      <c r="I14" s="38"/>
    </row>
    <row r="15" spans="1:9" ht="15.75" thickBot="1" x14ac:dyDescent="0.3">
      <c r="A15" s="38"/>
      <c r="B15" s="22" t="s">
        <v>16</v>
      </c>
      <c r="C15" s="45"/>
      <c r="D15" s="46">
        <f ca="1">DADOS!B3</f>
        <v>44212</v>
      </c>
      <c r="I15" s="38"/>
    </row>
    <row r="16" spans="1:9" x14ac:dyDescent="0.25">
      <c r="A16" s="38"/>
      <c r="I16" s="38"/>
    </row>
    <row r="17" spans="1:9" x14ac:dyDescent="0.25">
      <c r="A17" s="38"/>
      <c r="I17" s="38"/>
    </row>
    <row r="18" spans="1:9" x14ac:dyDescent="0.25">
      <c r="A18" s="38"/>
      <c r="I18" s="38"/>
    </row>
    <row r="19" spans="1:9" x14ac:dyDescent="0.25">
      <c r="A19" s="38"/>
      <c r="I19" s="38"/>
    </row>
    <row r="20" spans="1:9" ht="13.5" customHeight="1" x14ac:dyDescent="0.25">
      <c r="A20" s="38"/>
      <c r="B20" s="38"/>
      <c r="C20" s="38"/>
      <c r="D20" s="38"/>
      <c r="E20" s="38"/>
      <c r="F20" s="38"/>
      <c r="G20" s="38"/>
      <c r="H20" s="38"/>
      <c r="I20" s="38"/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00FB-F7D0-47D2-A935-189BCECC4E17}">
  <sheetPr codeName="Planilha5"/>
  <dimension ref="A1"/>
  <sheetViews>
    <sheetView workbookViewId="0">
      <selection activeCell="I22" sqref="I2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9515-1B97-4BC6-81AF-B8B4FE8C0A9A}">
  <sheetPr codeName="Planilha2"/>
  <dimension ref="A1:F29"/>
  <sheetViews>
    <sheetView workbookViewId="0">
      <selection activeCell="A3" sqref="A3:B99999"/>
    </sheetView>
  </sheetViews>
  <sheetFormatPr defaultRowHeight="23.25" customHeight="1" x14ac:dyDescent="0.25"/>
  <cols>
    <col min="1" max="2" width="20.140625" style="11" customWidth="1"/>
    <col min="5" max="5" width="23.85546875" customWidth="1"/>
    <col min="6" max="6" width="24.140625" customWidth="1"/>
  </cols>
  <sheetData>
    <row r="1" spans="1:6" ht="23.25" customHeight="1" thickBot="1" x14ac:dyDescent="0.3">
      <c r="A1" s="14" t="s">
        <v>2</v>
      </c>
      <c r="B1" s="15" t="s">
        <v>3</v>
      </c>
    </row>
    <row r="2" spans="1:6" ht="23.25" customHeight="1" thickBot="1" x14ac:dyDescent="0.3">
      <c r="A2" s="14" t="s">
        <v>2</v>
      </c>
      <c r="B2" s="15" t="s">
        <v>3</v>
      </c>
      <c r="E2" s="17" t="s">
        <v>2</v>
      </c>
      <c r="F2" s="36">
        <f>SUM(A:A)</f>
        <v>0</v>
      </c>
    </row>
    <row r="3" spans="1:6" ht="23.25" customHeight="1" thickBot="1" x14ac:dyDescent="0.3">
      <c r="A3" s="37"/>
      <c r="B3" s="37"/>
      <c r="E3" s="16" t="s">
        <v>3</v>
      </c>
      <c r="F3" s="36">
        <f>SUM(B:B)*-1</f>
        <v>0</v>
      </c>
    </row>
    <row r="4" spans="1:6" ht="23.25" customHeight="1" thickBot="1" x14ac:dyDescent="0.3">
      <c r="A4" s="37"/>
      <c r="B4" s="37"/>
      <c r="E4" s="12"/>
      <c r="F4" s="13"/>
    </row>
    <row r="5" spans="1:6" ht="23.25" customHeight="1" thickBot="1" x14ac:dyDescent="0.3">
      <c r="A5" s="37"/>
      <c r="B5" s="37"/>
      <c r="E5" s="18" t="s">
        <v>1</v>
      </c>
      <c r="F5" s="36">
        <f>SUM(F2,F3)</f>
        <v>0</v>
      </c>
    </row>
    <row r="6" spans="1:6" ht="23.25" customHeight="1" thickBot="1" x14ac:dyDescent="0.3">
      <c r="A6" s="37"/>
      <c r="B6" s="37"/>
      <c r="E6" s="18" t="s">
        <v>4</v>
      </c>
      <c r="F6" s="19" t="str">
        <f>IF(F5&gt;0,"POSITIVO",IF(F5=0,"ESTABILIZOU",IF(F5&lt;0,"NEGATIVO")))</f>
        <v>ESTABILIZOU</v>
      </c>
    </row>
    <row r="7" spans="1:6" ht="23.25" customHeight="1" thickBot="1" x14ac:dyDescent="0.3">
      <c r="A7" s="37"/>
      <c r="B7" s="37"/>
    </row>
    <row r="8" spans="1:6" ht="23.25" customHeight="1" thickBot="1" x14ac:dyDescent="0.3">
      <c r="A8" s="37"/>
      <c r="B8" s="37"/>
    </row>
    <row r="9" spans="1:6" ht="23.25" customHeight="1" thickBot="1" x14ac:dyDescent="0.3">
      <c r="A9" s="37"/>
      <c r="B9" s="37"/>
    </row>
    <row r="10" spans="1:6" ht="23.25" customHeight="1" thickBot="1" x14ac:dyDescent="0.3">
      <c r="A10" s="37"/>
      <c r="B10" s="37"/>
    </row>
    <row r="11" spans="1:6" ht="23.25" customHeight="1" thickBot="1" x14ac:dyDescent="0.3">
      <c r="A11" s="37"/>
      <c r="B11" s="37"/>
    </row>
    <row r="12" spans="1:6" ht="23.25" customHeight="1" thickBot="1" x14ac:dyDescent="0.3">
      <c r="A12" s="37"/>
      <c r="B12" s="37"/>
    </row>
    <row r="13" spans="1:6" ht="23.25" customHeight="1" thickBot="1" x14ac:dyDescent="0.3">
      <c r="A13" s="37"/>
      <c r="B13" s="37"/>
    </row>
    <row r="14" spans="1:6" ht="23.25" customHeight="1" thickBot="1" x14ac:dyDescent="0.3">
      <c r="A14" s="37"/>
      <c r="B14" s="37"/>
    </row>
    <row r="15" spans="1:6" ht="23.25" customHeight="1" thickBot="1" x14ac:dyDescent="0.3">
      <c r="A15" s="37"/>
      <c r="B15" s="37"/>
    </row>
    <row r="16" spans="1:6" ht="23.25" customHeight="1" thickBot="1" x14ac:dyDescent="0.3">
      <c r="A16" s="37"/>
      <c r="B16" s="37"/>
    </row>
    <row r="17" spans="1:2" ht="23.25" customHeight="1" thickBot="1" x14ac:dyDescent="0.3">
      <c r="A17" s="37"/>
      <c r="B17" s="37"/>
    </row>
    <row r="18" spans="1:2" ht="23.25" customHeight="1" thickBot="1" x14ac:dyDescent="0.3">
      <c r="A18" s="37"/>
      <c r="B18" s="37"/>
    </row>
    <row r="19" spans="1:2" ht="23.25" customHeight="1" thickBot="1" x14ac:dyDescent="0.3">
      <c r="A19" s="37"/>
      <c r="B19" s="37"/>
    </row>
    <row r="20" spans="1:2" ht="23.25" customHeight="1" thickBot="1" x14ac:dyDescent="0.3">
      <c r="A20" s="37"/>
      <c r="B20" s="37"/>
    </row>
    <row r="21" spans="1:2" ht="23.25" customHeight="1" thickBot="1" x14ac:dyDescent="0.3">
      <c r="A21" s="37"/>
      <c r="B21" s="37"/>
    </row>
    <row r="22" spans="1:2" ht="23.25" customHeight="1" thickBot="1" x14ac:dyDescent="0.3">
      <c r="A22" s="37"/>
      <c r="B22" s="37"/>
    </row>
    <row r="23" spans="1:2" ht="23.25" customHeight="1" thickBot="1" x14ac:dyDescent="0.3">
      <c r="A23" s="37"/>
    </row>
    <row r="24" spans="1:2" ht="23.25" customHeight="1" thickBot="1" x14ac:dyDescent="0.3">
      <c r="A24" s="37"/>
    </row>
    <row r="25" spans="1:2" ht="23.25" customHeight="1" thickBot="1" x14ac:dyDescent="0.3">
      <c r="A25" s="37"/>
    </row>
    <row r="26" spans="1:2" ht="23.25" customHeight="1" thickBot="1" x14ac:dyDescent="0.3">
      <c r="A26" s="37"/>
    </row>
    <row r="27" spans="1:2" ht="23.25" customHeight="1" thickBot="1" x14ac:dyDescent="0.3">
      <c r="A27" s="37"/>
    </row>
    <row r="28" spans="1:2" ht="23.25" customHeight="1" thickBot="1" x14ac:dyDescent="0.3">
      <c r="A28" s="37"/>
    </row>
    <row r="29" spans="1:2" ht="23.25" customHeight="1" thickBot="1" x14ac:dyDescent="0.3">
      <c r="A29" s="37"/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C6ED7-1469-47ED-8ED5-287489CFADB5}">
  <sheetPr codeName="Planilha1"/>
  <dimension ref="A1"/>
  <sheetViews>
    <sheetView showGridLines="0" showRowColHeaders="0" workbookViewId="0"/>
  </sheetViews>
  <sheetFormatPr defaultRowHeight="15" x14ac:dyDescent="0.25"/>
  <cols>
    <col min="1" max="16384" width="9.140625" style="1"/>
  </cols>
  <sheetData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20707-276B-4B91-9960-B82B6212763E}">
  <sheetPr codeName="Planilha3"/>
  <dimension ref="A1:I11"/>
  <sheetViews>
    <sheetView tabSelected="1" workbookViewId="0">
      <selection activeCell="C9" sqref="C9"/>
    </sheetView>
  </sheetViews>
  <sheetFormatPr defaultRowHeight="15" x14ac:dyDescent="0.25"/>
  <cols>
    <col min="1" max="1" width="2.42578125" customWidth="1"/>
    <col min="2" max="3" width="13" customWidth="1"/>
    <col min="4" max="4" width="3.28515625" customWidth="1"/>
    <col min="5" max="5" width="61" customWidth="1"/>
    <col min="6" max="6" width="9.140625" customWidth="1"/>
    <col min="7" max="7" width="12.7109375" customWidth="1"/>
    <col min="8" max="9" width="14.42578125" customWidth="1"/>
  </cols>
  <sheetData>
    <row r="1" spans="1:9" ht="15.75" thickBot="1" x14ac:dyDescent="0.3">
      <c r="A1" s="6"/>
      <c r="B1" s="5"/>
      <c r="C1" s="5"/>
      <c r="D1" s="8"/>
      <c r="E1" t="s">
        <v>5</v>
      </c>
      <c r="H1" s="10"/>
      <c r="I1" s="10"/>
    </row>
    <row r="2" spans="1:9" ht="15.75" thickBot="1" x14ac:dyDescent="0.3">
      <c r="A2" s="7"/>
      <c r="B2" s="2" t="s">
        <v>0</v>
      </c>
      <c r="C2" s="4">
        <f ca="1">DAY(B3)</f>
        <v>16</v>
      </c>
      <c r="D2" s="9"/>
      <c r="E2" t="s">
        <v>19</v>
      </c>
      <c r="G2">
        <v>0</v>
      </c>
    </row>
    <row r="3" spans="1:9" ht="15.75" thickBot="1" x14ac:dyDescent="0.3">
      <c r="A3" s="7"/>
      <c r="B3" s="3">
        <f ca="1">TODAY()</f>
        <v>44212</v>
      </c>
      <c r="C3" s="4" t="str">
        <f ca="1">IF(B4=1,"JANEIRO",IF(B4=2,"FEVEREIRO",IF(B4=3,"MARÇO",IF(B4=4,"ABRIL",IF(B4=5,"MAIO",IF(B4=6,"JUNHO",IF(B4=7,"JULHO",IF(B4=8,"AGOSTO",IF(B4=9,"SETEMBRO",IF(B4=10,"OUTUBRO",IF(B4=11,"NOVEMBRO",IF(B4=12,"DEZEMBRO"))))))))))))</f>
        <v>JANEIRO</v>
      </c>
      <c r="D3" s="9"/>
      <c r="E3" t="s">
        <v>20</v>
      </c>
      <c r="G3" s="27" t="s">
        <v>21</v>
      </c>
    </row>
    <row r="4" spans="1:9" ht="15.75" thickBot="1" x14ac:dyDescent="0.3">
      <c r="A4" s="7"/>
      <c r="B4" s="2">
        <f ca="1">MONTH(B3)</f>
        <v>1</v>
      </c>
      <c r="C4" s="4">
        <f ca="1">YEAR(B3)</f>
        <v>2021</v>
      </c>
      <c r="D4" s="7"/>
      <c r="E4" t="str">
        <f>E2&amp;E3</f>
        <v>C:\Users\Henrique\Desktop/Relatório Mensal.pdf</v>
      </c>
    </row>
    <row r="5" spans="1:9" ht="15.75" thickBot="1" x14ac:dyDescent="0.3">
      <c r="A5" s="6"/>
      <c r="B5" s="5"/>
      <c r="C5" s="5"/>
      <c r="D5" s="6"/>
    </row>
    <row r="6" spans="1:9" ht="15.75" thickBot="1" x14ac:dyDescent="0.3"/>
    <row r="7" spans="1:9" ht="15.75" thickBot="1" x14ac:dyDescent="0.3">
      <c r="B7" s="33"/>
      <c r="C7" s="5"/>
      <c r="D7" s="6"/>
      <c r="E7" s="28" t="s">
        <v>15</v>
      </c>
    </row>
    <row r="8" spans="1:9" ht="15.75" thickBot="1" x14ac:dyDescent="0.3">
      <c r="B8" s="32"/>
      <c r="C8" s="29"/>
      <c r="D8" s="7"/>
      <c r="E8" s="37">
        <v>3343</v>
      </c>
    </row>
    <row r="9" spans="1:9" ht="15.75" thickBot="1" x14ac:dyDescent="0.3">
      <c r="B9" s="28" t="s">
        <v>23</v>
      </c>
      <c r="C9" s="27" t="s">
        <v>21</v>
      </c>
      <c r="D9" s="7"/>
      <c r="E9" s="38"/>
    </row>
    <row r="10" spans="1:9" ht="15.75" thickBot="1" x14ac:dyDescent="0.3">
      <c r="B10" s="31" t="s">
        <v>22</v>
      </c>
      <c r="C10">
        <v>0</v>
      </c>
      <c r="D10" s="7"/>
      <c r="E10" s="28" t="s">
        <v>14</v>
      </c>
    </row>
    <row r="11" spans="1:9" ht="15.75" thickBot="1" x14ac:dyDescent="0.3">
      <c r="B11" s="33"/>
      <c r="C11" s="5"/>
      <c r="D11" s="6"/>
      <c r="E11" s="37">
        <v>15433.99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FINALIZACAO</vt:lpstr>
      <vt:lpstr>RELATÓRIO UNITÁRIO</vt:lpstr>
      <vt:lpstr>VALORES</vt:lpstr>
      <vt:lpstr>INDEX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Henrique</cp:lastModifiedBy>
  <cp:lastPrinted>2021-01-16T19:00:57Z</cp:lastPrinted>
  <dcterms:created xsi:type="dcterms:W3CDTF">2021-01-13T21:08:49Z</dcterms:created>
  <dcterms:modified xsi:type="dcterms:W3CDTF">2021-01-16T19:03:05Z</dcterms:modified>
</cp:coreProperties>
</file>